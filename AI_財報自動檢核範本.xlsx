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a1675bb9e5ea1c3/作業檔/115年/115_AI財報機器人/沙盒計畫/"/>
    </mc:Choice>
  </mc:AlternateContent>
  <xr:revisionPtr revIDLastSave="15" documentId="11_5D9B1905CCAE2773A6F9032E34AD4462E2067FA2" xr6:coauthVersionLast="47" xr6:coauthVersionMax="47" xr10:uidLastSave="{965076F7-BF5B-4A3E-9CF5-22023B218B53}"/>
  <bookViews>
    <workbookView xWindow="-110" yWindow="-110" windowWidth="19420" windowHeight="10300" activeTab="1" xr2:uid="{00000000-000D-0000-FFFF-FFFF00000000}"/>
  </bookViews>
  <sheets>
    <sheet name="資產負債檢核表" sheetId="1" r:id="rId1"/>
    <sheet name="AI檢核邏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2" i="2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<sst xmlns="http://schemas.openxmlformats.org/spreadsheetml/2006/main" count="42" uniqueCount="42">
  <si>
    <t>科目</t>
  </si>
  <si>
    <t>去年數據</t>
  </si>
  <si>
    <t>今年數據</t>
  </si>
  <si>
    <t>增減幅度%</t>
  </si>
  <si>
    <t>審核結果</t>
  </si>
  <si>
    <t>流動資產</t>
  </si>
  <si>
    <t>固定資產</t>
  </si>
  <si>
    <t>資產總計</t>
  </si>
  <si>
    <t>流動負債</t>
  </si>
  <si>
    <t>長期負債</t>
  </si>
  <si>
    <t>負債總計</t>
  </si>
  <si>
    <t>基金</t>
  </si>
  <si>
    <t>累積餘絀</t>
  </si>
  <si>
    <t>本期餘絀</t>
  </si>
  <si>
    <t>淨值總計</t>
  </si>
  <si>
    <t>檢核項目</t>
  </si>
  <si>
    <t>公式邏輯</t>
  </si>
  <si>
    <t>判斷門檻</t>
  </si>
  <si>
    <t>行動建議</t>
  </si>
  <si>
    <t>報表平衡性</t>
  </si>
  <si>
    <t>資產總計-(負債總計+淨值總計)</t>
  </si>
  <si>
    <t>報表未平衡</t>
  </si>
  <si>
    <t>請修正報表</t>
  </si>
  <si>
    <t>負債比率</t>
  </si>
  <si>
    <t>負債總計/資產總計</t>
  </si>
  <si>
    <t>≤50%</t>
  </si>
  <si>
    <t>財務槓桿過高</t>
  </si>
  <si>
    <t>評估償債風險</t>
  </si>
  <si>
    <t>流動比率</t>
  </si>
  <si>
    <t>流動資產/流動負債</t>
  </si>
  <si>
    <t>&gt;1</t>
  </si>
  <si>
    <t>短期週轉風險</t>
  </si>
  <si>
    <t>關注現金流</t>
  </si>
  <si>
    <t>跨表餘絀</t>
  </si>
  <si>
    <t>資產表餘絀-收支表餘絀</t>
  </si>
  <si>
    <t>報表不一致</t>
  </si>
  <si>
    <t>請說明差異</t>
  </si>
  <si>
    <t>固定資產變動</t>
  </si>
  <si>
    <t>本期-上期+折舊</t>
  </si>
  <si>
    <t>折舊或報廢異常</t>
  </si>
  <si>
    <t>補充說明</t>
  </si>
  <si>
    <t>異常意義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</si>
</sst>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1"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2" sqref="E2"/>
    </sheetView>
  </sheetViews>
  <sheetFormatPr defaultRowHeight="14.5" x14ac:dyDescent="0.3"/>
  <cols>
    <col min="1" max="1" width="22.796875" customWidth="1"/>
    <col min="2" max="2" width="14.59765625" customWidth="1"/>
    <col min="3" max="3" width="13.19921875" customWidth="1"/>
    <col min="4" max="4" width="31.3984375" customWidth="1"/>
    <col min="5" max="5" width="17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D2" t="e">
        <f t="shared" ref="D2:D11" si="0">(C2-B2)/B2</f>
        <v>#DIV/0!</v>
      </c>
    </row>
    <row r="3" spans="1:5" x14ac:dyDescent="0.3">
      <c r="A3" t="s">
        <v>6</v>
      </c>
      <c r="D3" t="e">
        <f t="shared" si="0"/>
        <v>#DIV/0!</v>
      </c>
    </row>
    <row r="4" spans="1:5" x14ac:dyDescent="0.3">
      <c r="A4" t="s">
        <v>7</v>
      </c>
      <c r="D4" t="e">
        <f t="shared" si="0"/>
        <v>#DIV/0!</v>
      </c>
    </row>
    <row r="5" spans="1:5" x14ac:dyDescent="0.3">
      <c r="A5" t="s">
        <v>8</v>
      </c>
      <c r="D5" t="e">
        <f t="shared" si="0"/>
        <v>#DIV/0!</v>
      </c>
    </row>
    <row r="6" spans="1:5" x14ac:dyDescent="0.3">
      <c r="A6" t="s">
        <v>9</v>
      </c>
      <c r="D6" t="e">
        <f t="shared" si="0"/>
        <v>#DIV/0!</v>
      </c>
    </row>
    <row r="7" spans="1:5" x14ac:dyDescent="0.3">
      <c r="A7" t="s">
        <v>10</v>
      </c>
      <c r="D7" t="e">
        <f t="shared" si="0"/>
        <v>#DIV/0!</v>
      </c>
    </row>
    <row r="8" spans="1:5" x14ac:dyDescent="0.3">
      <c r="A8" t="s">
        <v>11</v>
      </c>
      <c r="D8" t="e">
        <f t="shared" si="0"/>
        <v>#DIV/0!</v>
      </c>
    </row>
    <row r="9" spans="1:5" x14ac:dyDescent="0.3">
      <c r="A9" t="s">
        <v>12</v>
      </c>
      <c r="D9" t="e">
        <f t="shared" si="0"/>
        <v>#DIV/0!</v>
      </c>
    </row>
    <row r="10" spans="1:5" x14ac:dyDescent="0.3">
      <c r="A10" t="s">
        <v>13</v>
      </c>
      <c r="D10" t="e">
        <f t="shared" si="0"/>
        <v>#DIV/0!</v>
      </c>
    </row>
    <row r="11" spans="1:5" x14ac:dyDescent="0.3">
      <c r="A11" t="s">
        <v>14</v>
      </c>
      <c r="D11" t="e">
        <f t="shared" si="0"/>
        <v>#DIV/0!</v>
      </c>
    </row>
  </sheetData>
  <phoneticPr fontId="1" type="noConversion"/>
  <conditionalFormatting sqref="D2:D11">
    <cfRule type="expression" dxfId="0" priority="1">
      <formula>ABS(D2)&gt;0.1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E1" sqref="E1"/>
    </sheetView>
  </sheetViews>
  <sheetFormatPr defaultRowHeight="14.5" x14ac:dyDescent="0.3"/>
  <cols>
    <col min="1" max="1" width="31.5" customWidth="1"/>
    <col min="2" max="2" width="34.3984375" customWidth="1"/>
    <col min="3" max="3" width="20.8984375" customWidth="1"/>
    <col min="4" max="4" width="22.59765625" customWidth="1"/>
    <col min="5" max="5" width="24.8984375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41</v>
      </c>
      <c r="E1" t="s">
        <v>18</v>
      </c>
    </row>
    <row r="2" spans="1:5" x14ac:dyDescent="0.3">
      <c r="A2" t="s">
        <v>19</v>
      </c>
      <c r="B2" t="s">
        <v>20</v>
      </c>
      <c r="C2">
        <f>0</f>
        <v>0</v>
      </c>
      <c r="D2" t="s">
        <v>21</v>
      </c>
      <c r="E2" t="s">
        <v>22</v>
      </c>
    </row>
    <row r="3" spans="1: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 spans="1:5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</row>
    <row r="5" spans="1:5" x14ac:dyDescent="0.3">
      <c r="A5" t="s">
        <v>33</v>
      </c>
      <c r="B5" t="s">
        <v>34</v>
      </c>
      <c r="C5">
        <f>0</f>
        <v>0</v>
      </c>
      <c r="D5" t="s">
        <v>35</v>
      </c>
      <c r="E5" t="s">
        <v>36</v>
      </c>
    </row>
    <row r="6" spans="1:5" x14ac:dyDescent="0.3">
      <c r="A6" t="s">
        <v>37</v>
      </c>
      <c r="B6" t="s">
        <v>38</v>
      </c>
      <c r="C6" t="e">
        <f>新購資產</f>
        <v>#NAME?</v>
      </c>
      <c r="D6" t="s">
        <v>39</v>
      </c>
      <c r="E6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資產負債檢核表</vt:lpstr>
      <vt:lpstr>AI檢核邏輯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Sophia</cp:lastModifiedBy>
  <dcterms:created xsi:type="dcterms:W3CDTF">2026-01-28T08:27:32Z</dcterms:created>
  <dcterms:modified xsi:type="dcterms:W3CDTF">2026-01-29T05:55:16Z</dcterms:modified>
</cp:coreProperties>
</file>