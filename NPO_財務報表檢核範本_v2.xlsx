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a1675bb9e5ea1c3/作業檔/115年/115_AI財報機器人/沙盒計畫/"/>
    </mc:Choice>
  </mc:AlternateContent>
  <xr:revisionPtr revIDLastSave="6" documentId="11_DF01C98C3F33FCF6B777BA8B829DBC4598B3FC78" xr6:coauthVersionLast="47" xr6:coauthVersionMax="47" xr10:uidLastSave="{A6B9897F-02C5-4EA2-8306-16EBF0221395}"/>
  <bookViews>
    <workbookView xWindow="-110" yWindow="-110" windowWidth="19420" windowHeight="10300" xr2:uid="{00000000-000D-0000-FFFF-FFFF00000000}"/>
  </bookViews>
  <sheets>
    <sheet name="S1_收支決算表_輸入即檢核" sheetId="1" r:id="rId1"/>
    <sheet name="S2_資產負債表_輸入即檢核" sheetId="2" r:id="rId2"/>
    <sheet name="S3_基金或淨值變動_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 s="1"/>
  <c r="E4" i="2"/>
  <c r="D4" i="2"/>
  <c r="D3" i="2"/>
  <c r="E3" i="2" s="1"/>
  <c r="D2" i="2"/>
  <c r="E2" i="2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<sst xmlns="http://schemas.openxmlformats.org/spreadsheetml/2006/main" count="59" uniqueCount="48">
  <si>
    <t>檢核項目</t>
  </si>
  <si>
    <t>輸入值A</t>
  </si>
  <si>
    <t>輸入值B</t>
  </si>
  <si>
    <t>計算結果</t>
  </si>
  <si>
    <t>是否異常</t>
  </si>
  <si>
    <t>營運意義</t>
  </si>
  <si>
    <t>建議追問／修正</t>
  </si>
  <si>
    <t>收入加總正確</t>
  </si>
  <si>
    <t>收入總額</t>
  </si>
  <si>
    <t>收入科目加總</t>
  </si>
  <si>
    <t>基礎帳務可能有漏列或誤植</t>
  </si>
  <si>
    <t>請重新檢查收入科目</t>
  </si>
  <si>
    <t>支出加總正確</t>
  </si>
  <si>
    <t>支出總額</t>
  </si>
  <si>
    <t>支出科目加總</t>
  </si>
  <si>
    <t>支出帳務不完整或分類錯誤</t>
  </si>
  <si>
    <t>請檢查支出科目</t>
  </si>
  <si>
    <t>收支平衡</t>
  </si>
  <si>
    <t>支出+餘絀</t>
  </si>
  <si>
    <t>報表結構錯誤，無法判讀營運</t>
  </si>
  <si>
    <t>請修正報表</t>
  </si>
  <si>
    <t>餘絀比例</t>
  </si>
  <si>
    <t>本期餘絀</t>
  </si>
  <si>
    <t>結餘過高，可能計畫延宕或資金未執行</t>
  </si>
  <si>
    <t>請說明結餘用途</t>
  </si>
  <si>
    <t>資產負債平衡</t>
  </si>
  <si>
    <t>資產總額</t>
  </si>
  <si>
    <t>負債+淨值</t>
  </si>
  <si>
    <t>資產負債表不平衡，資料不可用</t>
  </si>
  <si>
    <t>請修正資產或負債</t>
  </si>
  <si>
    <t>負債比</t>
  </si>
  <si>
    <t>負債總額</t>
  </si>
  <si>
    <t>負債比過高，財務風險上升</t>
  </si>
  <si>
    <t>請說明償債能力</t>
  </si>
  <si>
    <t>本期餘絀勾稽</t>
  </si>
  <si>
    <t>資產表餘絀</t>
  </si>
  <si>
    <t>收支表餘絀</t>
  </si>
  <si>
    <t>跨表資料不一致</t>
  </si>
  <si>
    <t>請檢查結轉</t>
  </si>
  <si>
    <t>項目</t>
  </si>
  <si>
    <t>期初</t>
  </si>
  <si>
    <t>期末</t>
  </si>
  <si>
    <t>變動數</t>
  </si>
  <si>
    <t>判斷</t>
  </si>
  <si>
    <t>建議</t>
  </si>
  <si>
    <t>基金或淨值</t>
  </si>
  <si>
    <t>反映組織長期財務結構變化</t>
  </si>
  <si>
    <t>請說明原因與是否經決議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</si>
</sst>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10" sqref="C10"/>
    </sheetView>
  </sheetViews>
  <sheetFormatPr defaultRowHeight="14.5" x14ac:dyDescent="0.3"/>
  <cols>
    <col min="1" max="1" width="17.59765625" customWidth="1"/>
    <col min="2" max="2" width="13.3984375" customWidth="1"/>
    <col min="3" max="4" width="40.69921875" customWidth="1"/>
    <col min="5" max="5" width="24.09765625" customWidth="1"/>
    <col min="6" max="8" width="40.699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b">
        <f>B2=C2</f>
        <v>0</v>
      </c>
      <c r="E2" t="str">
        <f>IF(D2, "OK", "異常")</f>
        <v>異常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b">
        <f>B3=C3</f>
        <v>0</v>
      </c>
      <c r="E3" t="str">
        <f>IF(D3, "OK", "異常")</f>
        <v>異常</v>
      </c>
      <c r="F3" t="s">
        <v>15</v>
      </c>
      <c r="G3" t="s">
        <v>16</v>
      </c>
    </row>
    <row r="4" spans="1:7" x14ac:dyDescent="0.3">
      <c r="A4" t="s">
        <v>17</v>
      </c>
      <c r="B4" t="s">
        <v>8</v>
      </c>
      <c r="C4" t="s">
        <v>18</v>
      </c>
      <c r="D4" t="b">
        <f>B4=C4</f>
        <v>0</v>
      </c>
      <c r="E4" t="str">
        <f>IF(D4, "OK", "異常")</f>
        <v>異常</v>
      </c>
      <c r="F4" t="s">
        <v>19</v>
      </c>
      <c r="G4" t="s">
        <v>20</v>
      </c>
    </row>
    <row r="5" spans="1:7" x14ac:dyDescent="0.3">
      <c r="A5" t="s">
        <v>21</v>
      </c>
      <c r="B5" t="s">
        <v>22</v>
      </c>
      <c r="C5" t="s">
        <v>8</v>
      </c>
      <c r="D5" t="e">
        <f>B5/B6</f>
        <v>#VALUE!</v>
      </c>
      <c r="E5" t="e">
        <f>IF(D5&lt;=0.4,"OK","異常")</f>
        <v>#VALUE!</v>
      </c>
      <c r="F5" t="s">
        <v>23</v>
      </c>
      <c r="G5" t="s">
        <v>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D3" sqref="D3"/>
    </sheetView>
  </sheetViews>
  <sheetFormatPr defaultRowHeight="14.5" x14ac:dyDescent="0.3"/>
  <cols>
    <col min="1" max="5" width="20.69921875" customWidth="1"/>
    <col min="6" max="6" width="32.69921875" customWidth="1"/>
    <col min="7" max="8" width="20.699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25</v>
      </c>
      <c r="B2" t="s">
        <v>26</v>
      </c>
      <c r="C2" t="s">
        <v>27</v>
      </c>
      <c r="D2" t="b">
        <f>B2=C2</f>
        <v>0</v>
      </c>
      <c r="E2" t="str">
        <f>IF(D2,"OK","異常")</f>
        <v>異常</v>
      </c>
      <c r="F2" t="s">
        <v>28</v>
      </c>
      <c r="G2" t="s">
        <v>29</v>
      </c>
    </row>
    <row r="3" spans="1:7" x14ac:dyDescent="0.3">
      <c r="A3" t="s">
        <v>30</v>
      </c>
      <c r="B3" t="s">
        <v>31</v>
      </c>
      <c r="C3" t="s">
        <v>26</v>
      </c>
      <c r="D3" t="e">
        <f>B3/B4</f>
        <v>#VALUE!</v>
      </c>
      <c r="E3" t="e">
        <f>IF(D3&lt;=0.5,"OK","異常")</f>
        <v>#VALUE!</v>
      </c>
      <c r="F3" t="s">
        <v>32</v>
      </c>
      <c r="G3" t="s">
        <v>33</v>
      </c>
    </row>
    <row r="4" spans="1:7" x14ac:dyDescent="0.3">
      <c r="A4" t="s">
        <v>34</v>
      </c>
      <c r="B4" t="s">
        <v>35</v>
      </c>
      <c r="C4" t="s">
        <v>36</v>
      </c>
      <c r="D4" t="b">
        <f>B5=C5</f>
        <v>1</v>
      </c>
      <c r="E4" t="str">
        <f>IF(D5,"OK","異常")</f>
        <v>異常</v>
      </c>
      <c r="F4" t="s">
        <v>37</v>
      </c>
      <c r="G4" t="s">
        <v>38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5" x14ac:dyDescent="0.3"/>
  <sheetData>
    <row r="1" spans="1:7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5</v>
      </c>
      <c r="G1" t="s">
        <v>44</v>
      </c>
    </row>
    <row r="2" spans="1:7" x14ac:dyDescent="0.3">
      <c r="A2" t="s">
        <v>45</v>
      </c>
      <c r="D2">
        <f>C2-B2</f>
        <v>0</v>
      </c>
      <c r="E2" t="str">
        <f>IF(D2=0,"不變",IF(D2&gt;0,"增加","減少"))</f>
        <v>不變</v>
      </c>
      <c r="F2" t="s">
        <v>46</v>
      </c>
      <c r="G2" t="s">
        <v>47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S1_收支決算表_輸入即檢核</vt:lpstr>
      <vt:lpstr>S2_資產負債表_輸入即檢核</vt:lpstr>
      <vt:lpstr>S3_基金或淨值變動_分析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Sophia</cp:lastModifiedBy>
  <dcterms:created xsi:type="dcterms:W3CDTF">2026-01-29T07:31:03Z</dcterms:created>
  <dcterms:modified xsi:type="dcterms:W3CDTF">2026-01-29T07:42:29Z</dcterms:modified>
</cp:coreProperties>
</file>